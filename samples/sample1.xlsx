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4" customWidth="1" min="8" max="8"/>
    <col width="30" customWidth="1" min="9" max="9"/>
    <col width="12" customWidth="1" min="10" max="10"/>
    <col width="12" customWidth="1" min="11" max="11"/>
  </cols>
  <sheetData>
    <row r="1">
      <c r="A1" s="1" t="inlineStr">
        <is>
          <t>=== EMPLOYEE DATABASE (for Query testing) ===</t>
        </is>
      </c>
      <c r="I1" s="1" t="inlineStr">
        <is>
          <t>=== QUERY CRITERIA EXAMPLES ===</t>
        </is>
      </c>
    </row>
    <row r="2">
      <c r="A2" s="1" t="inlineStr">
        <is>
          <t>EmpID</t>
        </is>
      </c>
      <c r="B2" s="1" t="inlineStr">
        <is>
          <t>Name</t>
        </is>
      </c>
      <c r="C2" s="1" t="inlineStr">
        <is>
          <t>Department</t>
        </is>
      </c>
      <c r="D2" s="1" t="inlineStr">
        <is>
          <t>Salary</t>
        </is>
      </c>
      <c r="E2" s="1" t="inlineStr">
        <is>
          <t>HireYear</t>
        </is>
      </c>
      <c r="F2" s="1" t="inlineStr">
        <is>
          <t>Rating</t>
        </is>
      </c>
      <c r="G2" s="1" t="inlineStr">
        <is>
          <t>Status</t>
        </is>
      </c>
      <c r="I2" s="1" t="inlineStr">
        <is>
          <t>--- Criteria 1: Engineering ---</t>
        </is>
      </c>
    </row>
    <row r="3">
      <c r="A3" t="n">
        <v>1001</v>
      </c>
      <c r="B3" s="1" t="inlineStr">
        <is>
          <t>Alice Johnson</t>
        </is>
      </c>
      <c r="C3" s="1" t="inlineStr">
        <is>
          <t>Sales</t>
        </is>
      </c>
      <c r="D3" s="2" t="n">
        <v>75000</v>
      </c>
      <c r="E3" t="n">
        <v>2019</v>
      </c>
      <c r="F3" t="n">
        <v>4.5</v>
      </c>
      <c r="G3" s="1" t="inlineStr">
        <is>
          <t>Active</t>
        </is>
      </c>
      <c r="I3" s="1" t="inlineStr">
        <is>
          <t>Department</t>
        </is>
      </c>
    </row>
    <row r="4">
      <c r="A4" t="n">
        <v>1002</v>
      </c>
      <c r="B4" s="1" t="inlineStr">
        <is>
          <t>Bob Smith</t>
        </is>
      </c>
      <c r="C4" s="1" t="inlineStr">
        <is>
          <t>Engineering</t>
        </is>
      </c>
      <c r="D4" s="2" t="n">
        <v>92000</v>
      </c>
      <c r="E4" t="n">
        <v>2018</v>
      </c>
      <c r="F4" t="n">
        <v>4.8</v>
      </c>
      <c r="G4" s="1" t="inlineStr">
        <is>
          <t>Active</t>
        </is>
      </c>
      <c r="I4" s="1" t="inlineStr">
        <is>
          <t>Engineering</t>
        </is>
      </c>
    </row>
    <row r="5">
      <c r="A5" t="n">
        <v>1003</v>
      </c>
      <c r="B5" s="1" t="inlineStr">
        <is>
          <t>Carol Davis</t>
        </is>
      </c>
      <c r="C5" s="1" t="inlineStr">
        <is>
          <t>Marketing</t>
        </is>
      </c>
      <c r="D5" s="2" t="n">
        <v>68000</v>
      </c>
      <c r="E5" t="n">
        <v>2020</v>
      </c>
      <c r="F5" t="n">
        <v>3.9</v>
      </c>
      <c r="G5" s="1" t="inlineStr">
        <is>
          <t>Active</t>
        </is>
      </c>
    </row>
    <row r="6">
      <c r="A6" t="n">
        <v>1004</v>
      </c>
      <c r="B6" s="1" t="inlineStr">
        <is>
          <t>David Wilson</t>
        </is>
      </c>
      <c r="C6" s="1" t="inlineStr">
        <is>
          <t>Engineering</t>
        </is>
      </c>
      <c r="D6" s="2" t="n">
        <v>105000</v>
      </c>
      <c r="E6" t="n">
        <v>2015</v>
      </c>
      <c r="F6" t="n">
        <v>4.9</v>
      </c>
      <c r="G6" s="1" t="inlineStr">
        <is>
          <t>Active</t>
        </is>
      </c>
      <c r="I6" s="1" t="inlineStr">
        <is>
          <t>--- Criteria 2: Salary&gt;80000 ---</t>
        </is>
      </c>
    </row>
    <row r="7">
      <c r="A7" t="n">
        <v>1005</v>
      </c>
      <c r="B7" s="1" t="inlineStr">
        <is>
          <t>Eve Martinez</t>
        </is>
      </c>
      <c r="C7" s="1" t="inlineStr">
        <is>
          <t>Sales</t>
        </is>
      </c>
      <c r="D7" s="2" t="n">
        <v>71000</v>
      </c>
      <c r="E7" t="n">
        <v>2021</v>
      </c>
      <c r="F7" t="n">
        <v>4.2</v>
      </c>
      <c r="G7" s="1" t="inlineStr">
        <is>
          <t>OnLeave</t>
        </is>
      </c>
      <c r="I7" s="1" t="inlineStr">
        <is>
          <t>Salary</t>
        </is>
      </c>
    </row>
    <row r="8">
      <c r="A8" t="n">
        <v>1006</v>
      </c>
      <c r="B8" s="1" t="inlineStr">
        <is>
          <t>Frank Brown</t>
        </is>
      </c>
      <c r="C8" s="1" t="inlineStr">
        <is>
          <t>HR</t>
        </is>
      </c>
      <c r="D8" s="2" t="n">
        <v>62000</v>
      </c>
      <c r="E8" t="n">
        <v>2017</v>
      </c>
      <c r="F8" t="n">
        <v>3.7</v>
      </c>
      <c r="G8" s="1" t="inlineStr">
        <is>
          <t>Active</t>
        </is>
      </c>
      <c r="I8" t="inlineStr">
        <is>
          <t>&gt;80000</t>
        </is>
      </c>
    </row>
    <row r="9">
      <c r="A9" t="n">
        <v>1007</v>
      </c>
      <c r="B9" s="1" t="inlineStr">
        <is>
          <t>Grace Lee</t>
        </is>
      </c>
      <c r="C9" s="1" t="inlineStr">
        <is>
          <t>Engineering</t>
        </is>
      </c>
      <c r="D9" s="2" t="n">
        <v>88000</v>
      </c>
      <c r="E9" t="n">
        <v>2019</v>
      </c>
      <c r="F9" t="n">
        <v>4.6</v>
      </c>
      <c r="G9" s="1" t="inlineStr">
        <is>
          <t>Active</t>
        </is>
      </c>
    </row>
    <row r="10">
      <c r="A10" t="n">
        <v>1008</v>
      </c>
      <c r="B10" s="1" t="inlineStr">
        <is>
          <t>Henry Taylor</t>
        </is>
      </c>
      <c r="C10" s="1" t="inlineStr">
        <is>
          <t>Marketing</t>
        </is>
      </c>
      <c r="D10" s="2" t="n">
        <v>73000</v>
      </c>
      <c r="E10" t="n">
        <v>2020</v>
      </c>
      <c r="F10" t="n">
        <v>4</v>
      </c>
      <c r="G10" s="1" t="inlineStr">
        <is>
          <t>Active</t>
        </is>
      </c>
      <c r="I10" s="1" t="inlineStr">
        <is>
          <t>--- Criteria 3: Active Sales ---</t>
        </is>
      </c>
    </row>
    <row r="11">
      <c r="A11" t="n">
        <v>1009</v>
      </c>
      <c r="B11" s="1" t="inlineStr">
        <is>
          <t>Ivy Chen</t>
        </is>
      </c>
      <c r="C11" s="1" t="inlineStr">
        <is>
          <t>Sales</t>
        </is>
      </c>
      <c r="D11" s="2" t="n">
        <v>82000</v>
      </c>
      <c r="E11" t="n">
        <v>2016</v>
      </c>
      <c r="F11" t="n">
        <v>4.7</v>
      </c>
      <c r="G11" s="1" t="inlineStr">
        <is>
          <t>Active</t>
        </is>
      </c>
      <c r="I11" s="1" t="inlineStr">
        <is>
          <t>Department</t>
        </is>
      </c>
      <c r="J11" s="1" t="inlineStr">
        <is>
          <t>Status</t>
        </is>
      </c>
    </row>
    <row r="12">
      <c r="A12" t="n">
        <v>1010</v>
      </c>
      <c r="B12" s="1" t="inlineStr">
        <is>
          <t>Jack Miller</t>
        </is>
      </c>
      <c r="C12" s="1" t="inlineStr">
        <is>
          <t>Engineering</t>
        </is>
      </c>
      <c r="D12" s="2" t="n">
        <v>95000</v>
      </c>
      <c r="E12" t="n">
        <v>2018</v>
      </c>
      <c r="F12" t="n">
        <v>4.4</v>
      </c>
      <c r="G12" s="1" t="inlineStr">
        <is>
          <t>Terminated</t>
        </is>
      </c>
      <c r="I12" s="1" t="inlineStr">
        <is>
          <t>Sales</t>
        </is>
      </c>
      <c r="J12" s="1" t="inlineStr">
        <is>
          <t>Active</t>
        </is>
      </c>
    </row>
    <row r="13">
      <c r="D13" s="2">
        <f>SUM(D3:D12)</f>
        <v/>
      </c>
      <c r="F13">
        <f>AVERAGE(F3:F12)</f>
        <v/>
      </c>
    </row>
    <row r="15">
      <c r="I15" s="1" t="inlineStr">
        <is>
          <t>--- Criteria 4: Name contains 'a' ---</t>
        </is>
      </c>
    </row>
    <row r="16">
      <c r="A16" s="1" t="inlineStr">
        <is>
          <t>=== MONTHLY REVENUE (Line/Bar charts) ===</t>
        </is>
      </c>
      <c r="F16" s="1" t="inlineStr">
        <is>
          <t>=== SPECIAL VALUES</t>
        </is>
      </c>
      <c r="G16" s="1" t="inlineStr">
        <is>
          <t>=== MALFORMED FORMULAS</t>
        </is>
      </c>
      <c r="I16" s="1" t="inlineStr">
        <is>
          <t>Name</t>
        </is>
      </c>
    </row>
    <row r="17">
      <c r="A17" s="1" t="inlineStr">
        <is>
          <t>Month</t>
        </is>
      </c>
      <c r="B17" s="1" t="inlineStr">
        <is>
          <t>2023</t>
        </is>
      </c>
      <c r="C17" s="1" t="inlineStr">
        <is>
          <t>2024</t>
        </is>
      </c>
      <c r="D17" s="1" t="inlineStr">
        <is>
          <t>Growth%</t>
        </is>
      </c>
      <c r="F17" t="inlineStr">
        <is>
          <t>inf</t>
        </is>
      </c>
      <c r="G17" t="inlineStr">
        <is>
          <t>=@SOME WEIRD FORMULA</t>
        </is>
      </c>
      <c r="I17" s="1" t="inlineStr">
        <is>
          <t>*a*</t>
        </is>
      </c>
    </row>
    <row r="18">
      <c r="A18" s="1" t="inlineStr">
        <is>
          <t>Jan</t>
        </is>
      </c>
      <c r="B18" t="n">
        <v>45000</v>
      </c>
      <c r="C18" t="n">
        <v>52000</v>
      </c>
      <c r="D18" s="3">
        <f>((C18-B18)/B18)</f>
        <v/>
      </c>
      <c r="F18" t="inlineStr">
        <is>
          <t>-inf</t>
        </is>
      </c>
      <c r="G18" t="inlineStr">
        <is>
          <t>=== MALFORMED</t>
        </is>
      </c>
    </row>
    <row r="19">
      <c r="A19" s="1" t="inlineStr">
        <is>
          <t>Feb</t>
        </is>
      </c>
      <c r="B19" t="n">
        <v>48000</v>
      </c>
      <c r="C19" t="n">
        <v>55000</v>
      </c>
      <c r="D19" s="3">
        <f>((C19-B19)/B19)</f>
        <v/>
      </c>
      <c r="F19" t="inlineStr">
        <is>
          <t>nan</t>
        </is>
      </c>
      <c r="G19">
        <f>BLAH</f>
        <v/>
      </c>
      <c r="I19" s="1" t="inlineStr">
        <is>
          <t>--- Output Area ---</t>
        </is>
      </c>
    </row>
    <row r="20">
      <c r="A20" s="1" t="inlineStr">
        <is>
          <t>Mar</t>
        </is>
      </c>
      <c r="B20" t="n">
        <v>52000</v>
      </c>
      <c r="C20" t="n">
        <v>61000</v>
      </c>
      <c r="D20" s="3">
        <f>((C20-B20)/B20)</f>
        <v/>
      </c>
      <c r="F20" t="n">
        <v>0</v>
      </c>
      <c r="G20" t="inlineStr">
        <is>
          <t>=== BLAH</t>
        </is>
      </c>
      <c r="I20" s="1" t="inlineStr">
        <is>
          <t>(Set Output to I19 for Extract)</t>
        </is>
      </c>
    </row>
    <row r="21">
      <c r="A21" s="1" t="inlineStr">
        <is>
          <t>Apr</t>
        </is>
      </c>
      <c r="B21" t="n">
        <v>49000</v>
      </c>
      <c r="C21" t="n">
        <v>58000</v>
      </c>
      <c r="D21" s="3">
        <f>((C21-B21)/B21)</f>
        <v/>
      </c>
      <c r="F21" t="n">
        <v>-0</v>
      </c>
      <c r="G21" t="inlineStr">
        <is>
          <t>=!=</t>
        </is>
      </c>
    </row>
    <row r="22">
      <c r="A22" s="1" t="inlineStr">
        <is>
          <t>May</t>
        </is>
      </c>
      <c r="B22" t="n">
        <v>54000</v>
      </c>
      <c r="C22" t="n">
        <v>63000</v>
      </c>
      <c r="D22" s="3">
        <f>((C22-B22)/B22)</f>
        <v/>
      </c>
      <c r="F22" t="n">
        <v>0</v>
      </c>
      <c r="G22">
        <f>H</f>
        <v/>
      </c>
    </row>
    <row r="23">
      <c r="A23" s="1" t="inlineStr">
        <is>
          <t>Jun</t>
        </is>
      </c>
      <c r="B23" t="n">
        <v>58000</v>
      </c>
      <c r="C23" t="n">
        <v>68000</v>
      </c>
      <c r="D23" s="3">
        <f>((C23-B23)/B23)</f>
        <v/>
      </c>
      <c r="F23" t="inlineStr">
        <is>
          <t>+inf</t>
        </is>
      </c>
      <c r="G23" t="inlineStr">
        <is>
          <t>==B:A</t>
        </is>
      </c>
    </row>
    <row r="24">
      <c r="A24" s="1" t="inlineStr">
        <is>
          <t>Total</t>
        </is>
      </c>
      <c r="B24">
        <f>SUM(B18:B23)</f>
        <v/>
      </c>
      <c r="C24">
        <f>SUM(C18:C23)</f>
        <v/>
      </c>
      <c r="D24" s="3">
        <f>AVERAGE(D18:D23)</f>
        <v/>
      </c>
    </row>
    <row r="27">
      <c r="A27" s="1" t="inlineStr">
        <is>
          <t>=== PRODUCT MIX (Pie chart) ===</t>
        </is>
      </c>
    </row>
    <row r="28">
      <c r="A28" s="1" t="inlineStr">
        <is>
          <t>Product</t>
        </is>
      </c>
      <c r="B28" s="1" t="inlineStr">
        <is>
          <t>Revenue</t>
        </is>
      </c>
      <c r="C28" s="1" t="inlineStr">
        <is>
          <t>Share%</t>
        </is>
      </c>
    </row>
    <row r="29">
      <c r="A29" s="1" t="inlineStr">
        <is>
          <t>Software</t>
        </is>
      </c>
      <c r="B29" t="n">
        <v>125000</v>
      </c>
      <c r="C29">
        <f>B29/B33*100</f>
        <v/>
      </c>
    </row>
    <row r="30">
      <c r="A30" s="1" t="inlineStr">
        <is>
          <t>Hardware</t>
        </is>
      </c>
      <c r="B30" t="n">
        <v>85000</v>
      </c>
      <c r="C30">
        <f>B30/B33*100</f>
        <v/>
      </c>
    </row>
    <row r="31">
      <c r="A31" s="1" t="inlineStr">
        <is>
          <t>Services</t>
        </is>
      </c>
      <c r="B31" t="n">
        <v>65000</v>
      </c>
      <c r="C31">
        <f>B31/B33*100</f>
        <v/>
      </c>
    </row>
    <row r="32">
      <c r="A32" s="1" t="inlineStr">
        <is>
          <t>Training</t>
        </is>
      </c>
      <c r="B32" t="n">
        <v>25000</v>
      </c>
      <c r="C32">
        <f>B32/B33*100</f>
        <v/>
      </c>
    </row>
    <row r="33">
      <c r="A33" s="1" t="inlineStr">
        <is>
          <t>Total</t>
        </is>
      </c>
      <c r="B33">
        <f>SUM(B29:B32)</f>
        <v/>
      </c>
      <c r="C33">
        <f>SUM(C29:C32)</f>
        <v/>
      </c>
    </row>
    <row r="36">
      <c r="A36" s="1" t="inlineStr">
        <is>
          <t>=== XY SCATTER (Correlation) ===</t>
        </is>
      </c>
      <c r="D36" s="1" t="inlineStr">
        <is>
          <t>=== STACKED BAR (Composition) ===</t>
        </is>
      </c>
    </row>
    <row r="37">
      <c r="A37" s="1" t="inlineStr">
        <is>
          <t>AdSpend</t>
        </is>
      </c>
      <c r="B37" s="1" t="inlineStr">
        <is>
          <t>Sales</t>
        </is>
      </c>
      <c r="D37" s="1" t="inlineStr">
        <is>
          <t>Region</t>
        </is>
      </c>
      <c r="E37" s="1" t="inlineStr">
        <is>
          <t>Q1</t>
        </is>
      </c>
      <c r="F37" s="1" t="inlineStr">
        <is>
          <t>Q2</t>
        </is>
      </c>
      <c r="G37" s="1" t="inlineStr">
        <is>
          <t>Q3</t>
        </is>
      </c>
      <c r="H37" s="1" t="inlineStr">
        <is>
          <t>Q4</t>
        </is>
      </c>
    </row>
    <row r="38">
      <c r="A38" t="n">
        <v>1000</v>
      </c>
      <c r="B38" t="n">
        <v>15000</v>
      </c>
      <c r="D38" s="1" t="inlineStr">
        <is>
          <t>North</t>
        </is>
      </c>
      <c r="E38" t="n">
        <v>12000</v>
      </c>
      <c r="F38" t="n">
        <v>15000</v>
      </c>
      <c r="G38" t="n">
        <v>18000</v>
      </c>
      <c r="H38" t="n">
        <v>22000</v>
      </c>
    </row>
    <row r="39">
      <c r="A39" t="n">
        <v>2000</v>
      </c>
      <c r="B39" t="n">
        <v>22000</v>
      </c>
      <c r="D39" s="1" t="inlineStr">
        <is>
          <t>South</t>
        </is>
      </c>
      <c r="E39" t="n">
        <v>9000</v>
      </c>
      <c r="F39" t="n">
        <v>11000</v>
      </c>
      <c r="G39" t="n">
        <v>13000</v>
      </c>
      <c r="H39" t="n">
        <v>16000</v>
      </c>
    </row>
    <row r="40">
      <c r="A40" t="n">
        <v>3000</v>
      </c>
      <c r="B40" t="n">
        <v>31000</v>
      </c>
      <c r="D40" s="1" t="inlineStr">
        <is>
          <t>East</t>
        </is>
      </c>
      <c r="E40" t="n">
        <v>14000</v>
      </c>
      <c r="F40" t="n">
        <v>16000</v>
      </c>
      <c r="G40" t="n">
        <v>19000</v>
      </c>
      <c r="H40" t="n">
        <v>23000</v>
      </c>
    </row>
    <row r="41">
      <c r="A41" t="n">
        <v>4000</v>
      </c>
      <c r="B41" t="n">
        <v>38000</v>
      </c>
      <c r="D41" s="1" t="inlineStr">
        <is>
          <t>West</t>
        </is>
      </c>
      <c r="E41" t="n">
        <v>11000</v>
      </c>
      <c r="F41" t="n">
        <v>13000</v>
      </c>
      <c r="G41" t="n">
        <v>15000</v>
      </c>
      <c r="H41" t="n">
        <v>18000</v>
      </c>
    </row>
    <row r="42">
      <c r="A42" t="n">
        <v>5000</v>
      </c>
      <c r="B42" t="n">
        <v>47000</v>
      </c>
      <c r="D42" s="1" t="inlineStr">
        <is>
          <t>Total</t>
        </is>
      </c>
      <c r="E42">
        <f>SUM(E38:E41)</f>
        <v/>
      </c>
      <c r="F42">
        <f>SUM(F38:F41)</f>
        <v/>
      </c>
      <c r="G42">
        <f>SUM(G38:G41)</f>
        <v/>
      </c>
      <c r="H42">
        <f>SUM(H38:H41)</f>
        <v/>
      </c>
    </row>
    <row r="43">
      <c r="A43" t="n">
        <v>6000</v>
      </c>
      <c r="B43" t="n">
        <v>52000</v>
      </c>
    </row>
    <row r="44">
      <c r="A44" t="n">
        <v>7000</v>
      </c>
      <c r="B44" t="n">
        <v>61000</v>
      </c>
    </row>
    <row r="45">
      <c r="A45" t="n">
        <v>8000</v>
      </c>
      <c r="B45" t="n">
        <v>68000</v>
      </c>
    </row>
    <row r="48">
      <c r="A48" s="1" t="inlineStr">
        <is>
          <t>=== FORMULA SHOWCASE ===</t>
        </is>
      </c>
      <c r="F48" s="1" t="inlineStr">
        <is>
          <t>=== QUERY TESTING GUIDE ===</t>
        </is>
      </c>
    </row>
    <row r="49">
      <c r="A49" s="1" t="inlineStr">
        <is>
          <t>Function</t>
        </is>
      </c>
      <c r="B49" s="1" t="inlineStr">
        <is>
          <t>Formula</t>
        </is>
      </c>
      <c r="C49" s="1" t="inlineStr">
        <is>
          <t>Result</t>
        </is>
      </c>
      <c r="D49" s="1" t="inlineStr">
        <is>
          <t>Description</t>
        </is>
      </c>
      <c r="F49" s="1" t="inlineStr">
        <is>
          <t>1. Input range: A2:G12 (employee DB)</t>
        </is>
      </c>
    </row>
    <row r="50">
      <c r="A50" s="1" t="inlineStr">
        <is>
          <t>SUM</t>
        </is>
      </c>
      <c r="B50" s="1" t="inlineStr">
        <is>
          <t>=SUM(B17:B22)</t>
        </is>
      </c>
      <c r="C50">
        <f>SUM(B18:B23)</f>
        <v/>
      </c>
      <c r="D50" s="1" t="inlineStr">
        <is>
          <t>Sum of 2023 revenue</t>
        </is>
      </c>
      <c r="F50" s="1" t="inlineStr">
        <is>
          <t>2. Criteria examples in column I</t>
        </is>
      </c>
    </row>
    <row r="51">
      <c r="A51" s="1" t="inlineStr">
        <is>
          <t>AVG</t>
        </is>
      </c>
      <c r="B51" s="1" t="inlineStr">
        <is>
          <t>=AVG(D4:D12)</t>
        </is>
      </c>
      <c r="C51">
        <f>AVERAGE(D5:D13)</f>
        <v/>
      </c>
      <c r="D51" s="1" t="inlineStr">
        <is>
          <t>Avg employee salary</t>
        </is>
      </c>
      <c r="F51" s="1" t="inlineStr">
        <is>
          <t>3. Use wildcards: *text*, ?</t>
        </is>
      </c>
    </row>
    <row r="52">
      <c r="A52" s="1" t="inlineStr">
        <is>
          <t>MAX</t>
        </is>
      </c>
      <c r="B52" s="1" t="inlineStr">
        <is>
          <t>=MAX(D4:D12)</t>
        </is>
      </c>
      <c r="C52">
        <f>MAX(D5:D13)</f>
        <v/>
      </c>
      <c r="D52" s="1" t="inlineStr">
        <is>
          <t>Highest salary</t>
        </is>
      </c>
      <c r="F52" s="1" t="inlineStr">
        <is>
          <t>4. Comparisons: &gt;80000, &lt;=2019</t>
        </is>
      </c>
    </row>
    <row r="53">
      <c r="A53" s="1" t="inlineStr">
        <is>
          <t>MIN</t>
        </is>
      </c>
      <c r="B53" s="1" t="inlineStr">
        <is>
          <t>=MIN(D4:D12)</t>
        </is>
      </c>
      <c r="C53">
        <f>MIN(D5:D13)</f>
        <v/>
      </c>
      <c r="D53" s="1" t="inlineStr">
        <is>
          <t>Lowest salary</t>
        </is>
      </c>
      <c r="F53" s="1" t="inlineStr"/>
    </row>
    <row r="54">
      <c r="A54" s="1" t="inlineStr">
        <is>
          <t>COUNT</t>
        </is>
      </c>
      <c r="B54" s="1" t="inlineStr">
        <is>
          <t>=COUNT(D4:D12)</t>
        </is>
      </c>
      <c r="C54">
        <f>COUNT(D5:D13)</f>
        <v/>
      </c>
      <c r="D54" s="1" t="inlineStr">
        <is>
          <t>Number of employees</t>
        </is>
      </c>
      <c r="F54" s="1" t="inlineStr">
        <is>
          <t>=== GRAPH TESTING GUIDE ===</t>
        </is>
      </c>
    </row>
    <row r="55">
      <c r="A55" s="1" t="inlineStr">
        <is>
          <t>IF</t>
        </is>
      </c>
      <c r="B55" s="1" t="inlineStr">
        <is>
          <t>=IF(C23&gt;300000,"Good","Low")</t>
        </is>
      </c>
      <c r="C55">
        <f>IF(C24&gt;300000,"Good","Low")</f>
        <v/>
      </c>
      <c r="D55" s="1" t="inlineStr">
        <is>
          <t>Conditional logic</t>
        </is>
      </c>
      <c r="F55" s="1" t="inlineStr">
        <is>
          <t>Line: X=A17:A22, A=B17:B22</t>
        </is>
      </c>
    </row>
    <row r="56">
      <c r="A56" s="1" t="inlineStr">
        <is>
          <t>ROUND</t>
        </is>
      </c>
      <c r="B56" s="1" t="inlineStr">
        <is>
          <t>=ROUND(D17,1)</t>
        </is>
      </c>
      <c r="C56">
        <f>ROUND(D18,1)</f>
        <v/>
      </c>
      <c r="D56" s="1" t="inlineStr">
        <is>
          <t>Round to 1 decimal</t>
        </is>
      </c>
      <c r="F56" s="1" t="inlineStr">
        <is>
          <t>Bar: X=A17:A22, A=C17:C22</t>
        </is>
      </c>
    </row>
    <row r="57">
      <c r="A57" s="1" t="inlineStr">
        <is>
          <t>ABS</t>
        </is>
      </c>
      <c r="B57" s="1" t="inlineStr">
        <is>
          <t>=ABS(-500)</t>
        </is>
      </c>
      <c r="C57">
        <f>ABS(-500)</f>
        <v/>
      </c>
      <c r="D57" s="1" t="inlineStr">
        <is>
          <t>Absolute value</t>
        </is>
      </c>
      <c r="F57" s="1" t="inlineStr">
        <is>
          <t>Pie: A=A28:A31, B=B28:B31</t>
        </is>
      </c>
    </row>
    <row r="58">
      <c r="A58" s="1" t="inlineStr">
        <is>
          <t>SQRT</t>
        </is>
      </c>
      <c r="B58" s="1" t="inlineStr">
        <is>
          <t>=SQRT(144)</t>
        </is>
      </c>
      <c r="C58">
        <f>SQRT(144)</f>
        <v/>
      </c>
      <c r="D58" s="1" t="inlineStr">
        <is>
          <t>Square root</t>
        </is>
      </c>
      <c r="F58" s="1" t="inlineStr">
        <is>
          <t>XY: X=A37:A44, A=B37:B44</t>
        </is>
      </c>
    </row>
    <row r="59">
      <c r="A59" s="1" t="inlineStr">
        <is>
          <t>POWER</t>
        </is>
      </c>
      <c r="B59" s="1" t="inlineStr">
        <is>
          <t>=POWER(2,8)</t>
        </is>
      </c>
      <c r="C59">
        <f>POWER(2,8)</f>
        <v/>
      </c>
      <c r="D59" s="1" t="inlineStr">
        <is>
          <t>2 to the 8th</t>
        </is>
      </c>
      <c r="F59" s="1" t="inlineStr">
        <is>
          <t>Stacked: X=D36:D40, A-D=E-H</t>
        </is>
      </c>
    </row>
    <row r="60">
      <c r="A60" s="1" t="inlineStr">
        <is>
          <t>PI</t>
        </is>
      </c>
      <c r="B60" s="1" t="inlineStr">
        <is>
          <t>=PI()</t>
        </is>
      </c>
      <c r="C60">
        <f>PI()</f>
        <v/>
      </c>
      <c r="D60" s="1" t="inlineStr">
        <is>
          <t>Pi constant</t>
        </is>
      </c>
    </row>
    <row r="61">
      <c r="A61" s="1" t="inlineStr">
        <is>
          <t>MOD</t>
        </is>
      </c>
      <c r="B61" s="1" t="inlineStr">
        <is>
          <t>=MOD(17,5)</t>
        </is>
      </c>
      <c r="C61">
        <f>MOD(17,5)</f>
        <v/>
      </c>
      <c r="D61" s="1" t="inlineStr">
        <is>
          <t>Remainder of 17/5</t>
        </is>
      </c>
    </row>
    <row r="62">
      <c r="A62" s="1" t="inlineStr">
        <is>
          <t>INT</t>
        </is>
      </c>
      <c r="B62" s="1" t="inlineStr">
        <is>
          <t>=INT(9.7)</t>
        </is>
      </c>
      <c r="C62">
        <f>INT(9.7)</f>
        <v/>
      </c>
      <c r="D62" s="1" t="inlineStr">
        <is>
          <t>Integer 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2026-01-02T20:59:17Z</dcterms:created>
  <dcterms:modified xsi:type="dcterms:W3CDTF">2026-01-02T20:59:17Z</dcterms:modified>
</cp:coreProperties>
</file>